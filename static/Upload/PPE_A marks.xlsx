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mit\Documents\GitHub\MechanicalCodingThunder.github.io\static\Upload\"/>
    </mc:Choice>
  </mc:AlternateContent>
  <xr:revisionPtr revIDLastSave="0" documentId="13_ncr:1_{B68AA5D7-CBEF-40EB-A734-97310ED43FF0}" xr6:coauthVersionLast="47" xr6:coauthVersionMax="47" xr10:uidLastSave="{00000000-0000-0000-0000-000000000000}"/>
  <bookViews>
    <workbookView xWindow="-98" yWindow="-98" windowWidth="19396" windowHeight="11475" tabRatio="500" xr2:uid="{00000000-000D-0000-FFFF-FFFF00000000}"/>
  </bookViews>
  <sheets>
    <sheet name="Student Data" sheetId="1" r:id="rId1"/>
  </sheets>
  <definedNames>
    <definedName name="_xlnm._FilterDatabase" localSheetId="0" hidden="1">'Student Data'!$A$1:$AMD$62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F3" i="1" l="1"/>
  <c r="E3" i="1" s="1"/>
  <c r="F4" i="1"/>
  <c r="E4" i="1" s="1"/>
  <c r="F5" i="1"/>
  <c r="E5" i="1" s="1"/>
  <c r="F6" i="1"/>
  <c r="E6" i="1" s="1"/>
  <c r="F7" i="1"/>
  <c r="E7" i="1" s="1"/>
  <c r="F8" i="1"/>
  <c r="E8" i="1" s="1"/>
  <c r="F9" i="1"/>
  <c r="E9" i="1" s="1"/>
  <c r="F10" i="1"/>
  <c r="E10" i="1" s="1"/>
  <c r="F11" i="1"/>
  <c r="E11" i="1" s="1"/>
  <c r="F12" i="1"/>
  <c r="E12" i="1" s="1"/>
  <c r="F13" i="1"/>
  <c r="E13" i="1" s="1"/>
  <c r="F14" i="1"/>
  <c r="E14" i="1" s="1"/>
  <c r="F15" i="1"/>
  <c r="E15" i="1" s="1"/>
  <c r="F16" i="1"/>
  <c r="E16" i="1" s="1"/>
  <c r="F17" i="1"/>
  <c r="E17" i="1" s="1"/>
  <c r="F18" i="1"/>
  <c r="E18" i="1" s="1"/>
  <c r="F19" i="1"/>
  <c r="E19" i="1" s="1"/>
  <c r="F20" i="1"/>
  <c r="E20" i="1" s="1"/>
  <c r="F21" i="1"/>
  <c r="E21" i="1" s="1"/>
  <c r="F22" i="1"/>
  <c r="E22" i="1" s="1"/>
  <c r="F23" i="1"/>
  <c r="E23" i="1" s="1"/>
  <c r="F24" i="1"/>
  <c r="E24" i="1" s="1"/>
  <c r="F25" i="1"/>
  <c r="E25" i="1" s="1"/>
  <c r="F26" i="1"/>
  <c r="E26" i="1" s="1"/>
  <c r="F27" i="1"/>
  <c r="E27" i="1" s="1"/>
  <c r="F28" i="1"/>
  <c r="E28" i="1" s="1"/>
  <c r="F29" i="1"/>
  <c r="E29" i="1" s="1"/>
  <c r="F30" i="1"/>
  <c r="E30" i="1" s="1"/>
  <c r="F31" i="1"/>
  <c r="E31" i="1" s="1"/>
  <c r="F32" i="1"/>
  <c r="E32" i="1" s="1"/>
  <c r="F33" i="1"/>
  <c r="E33" i="1" s="1"/>
  <c r="F34" i="1"/>
  <c r="E34" i="1" s="1"/>
  <c r="F35" i="1"/>
  <c r="E35" i="1" s="1"/>
  <c r="F36" i="1"/>
  <c r="E36" i="1" s="1"/>
  <c r="F37" i="1"/>
  <c r="E37" i="1" s="1"/>
  <c r="F38" i="1"/>
  <c r="E38" i="1" s="1"/>
  <c r="F39" i="1"/>
  <c r="E39" i="1" s="1"/>
  <c r="F40" i="1"/>
  <c r="E40" i="1" s="1"/>
  <c r="F41" i="1"/>
  <c r="E41" i="1" s="1"/>
  <c r="F42" i="1"/>
  <c r="E42" i="1" s="1"/>
  <c r="F43" i="1"/>
  <c r="E43" i="1" s="1"/>
  <c r="F44" i="1"/>
  <c r="E44" i="1" s="1"/>
  <c r="F45" i="1"/>
  <c r="E45" i="1" s="1"/>
  <c r="F46" i="1"/>
  <c r="E46" i="1" s="1"/>
  <c r="F47" i="1"/>
  <c r="E47" i="1" s="1"/>
  <c r="F48" i="1"/>
  <c r="E48" i="1" s="1"/>
  <c r="F49" i="1"/>
  <c r="E49" i="1" s="1"/>
  <c r="F50" i="1"/>
  <c r="E50" i="1" s="1"/>
  <c r="F51" i="1"/>
  <c r="E51" i="1" s="1"/>
  <c r="F52" i="1"/>
  <c r="E52" i="1" s="1"/>
  <c r="F53" i="1"/>
  <c r="E53" i="1" s="1"/>
  <c r="F54" i="1"/>
  <c r="E54" i="1" s="1"/>
  <c r="F55" i="1"/>
  <c r="E55" i="1" s="1"/>
  <c r="F56" i="1"/>
  <c r="E56" i="1" s="1"/>
  <c r="F57" i="1"/>
  <c r="E57" i="1" s="1"/>
  <c r="F58" i="1"/>
  <c r="E58" i="1" s="1"/>
  <c r="E59" i="1"/>
  <c r="F60" i="1"/>
  <c r="E60" i="1" s="1"/>
  <c r="F61" i="1"/>
  <c r="E61" i="1" s="1"/>
  <c r="F62" i="1"/>
  <c r="E62" i="1" s="1"/>
  <c r="F2" i="1"/>
  <c r="E2" i="1" s="1"/>
  <c r="L3" i="1"/>
  <c r="M3" i="1" s="1"/>
  <c r="L4" i="1"/>
  <c r="M4" i="1" s="1"/>
  <c r="L5" i="1"/>
  <c r="M5" i="1" s="1"/>
  <c r="L6" i="1"/>
  <c r="M6" i="1" s="1"/>
  <c r="L7" i="1"/>
  <c r="M7" i="1" s="1"/>
  <c r="L8" i="1"/>
  <c r="M8" i="1" s="1"/>
  <c r="L9" i="1"/>
  <c r="M9" i="1" s="1"/>
  <c r="L10" i="1"/>
  <c r="M10" i="1" s="1"/>
  <c r="L11" i="1"/>
  <c r="M11" i="1" s="1"/>
  <c r="L12" i="1"/>
  <c r="M12" i="1" s="1"/>
  <c r="L13" i="1"/>
  <c r="M13" i="1" s="1"/>
  <c r="L14" i="1"/>
  <c r="M14" i="1" s="1"/>
  <c r="L15" i="1"/>
  <c r="M15" i="1" s="1"/>
  <c r="L16" i="1"/>
  <c r="M16" i="1" s="1"/>
  <c r="L17" i="1"/>
  <c r="M17" i="1" s="1"/>
  <c r="L18" i="1"/>
  <c r="M18" i="1" s="1"/>
  <c r="L19" i="1"/>
  <c r="M19" i="1" s="1"/>
  <c r="L20" i="1"/>
  <c r="M20" i="1" s="1"/>
  <c r="L21" i="1"/>
  <c r="M21" i="1" s="1"/>
  <c r="L22" i="1"/>
  <c r="M22" i="1" s="1"/>
  <c r="L23" i="1"/>
  <c r="M23" i="1" s="1"/>
  <c r="L24" i="1"/>
  <c r="L25" i="1"/>
  <c r="M25" i="1" s="1"/>
  <c r="L26" i="1"/>
  <c r="M26" i="1" s="1"/>
  <c r="L27" i="1"/>
  <c r="M27" i="1" s="1"/>
  <c r="L28" i="1"/>
  <c r="M28" i="1" s="1"/>
  <c r="L29" i="1"/>
  <c r="M29" i="1" s="1"/>
  <c r="L30" i="1"/>
  <c r="M30" i="1" s="1"/>
  <c r="L31" i="1"/>
  <c r="M31" i="1" s="1"/>
  <c r="L32" i="1"/>
  <c r="M32" i="1" s="1"/>
  <c r="L33" i="1"/>
  <c r="M33" i="1" s="1"/>
  <c r="L34" i="1"/>
  <c r="M34" i="1" s="1"/>
  <c r="L35" i="1"/>
  <c r="M35" i="1" s="1"/>
  <c r="L36" i="1"/>
  <c r="M36" i="1" s="1"/>
  <c r="L37" i="1"/>
  <c r="M37" i="1" s="1"/>
  <c r="L38" i="1"/>
  <c r="M38" i="1" s="1"/>
  <c r="L39" i="1"/>
  <c r="M39" i="1" s="1"/>
  <c r="L40" i="1"/>
  <c r="M40" i="1" s="1"/>
  <c r="L41" i="1"/>
  <c r="M41" i="1" s="1"/>
  <c r="L42" i="1"/>
  <c r="M42" i="1" s="1"/>
  <c r="L43" i="1"/>
  <c r="M43" i="1" s="1"/>
  <c r="L44" i="1"/>
  <c r="M44" i="1" s="1"/>
  <c r="L45" i="1"/>
  <c r="M45" i="1" s="1"/>
  <c r="L46" i="1"/>
  <c r="M46" i="1" s="1"/>
  <c r="L47" i="1"/>
  <c r="M47" i="1" s="1"/>
  <c r="L48" i="1"/>
  <c r="M48" i="1" s="1"/>
  <c r="L49" i="1"/>
  <c r="M49" i="1" s="1"/>
  <c r="L50" i="1"/>
  <c r="M50" i="1" s="1"/>
  <c r="L51" i="1"/>
  <c r="M51" i="1" s="1"/>
  <c r="L52" i="1"/>
  <c r="M52" i="1" s="1"/>
  <c r="L53" i="1"/>
  <c r="M53" i="1" s="1"/>
  <c r="L54" i="1"/>
  <c r="M54" i="1" s="1"/>
  <c r="L55" i="1"/>
  <c r="M55" i="1" s="1"/>
  <c r="L56" i="1"/>
  <c r="M56" i="1" s="1"/>
  <c r="L57" i="1"/>
  <c r="M57" i="1" s="1"/>
  <c r="L58" i="1"/>
  <c r="M58" i="1" s="1"/>
  <c r="L59" i="1"/>
  <c r="M59" i="1" s="1"/>
  <c r="L60" i="1"/>
  <c r="M60" i="1" s="1"/>
  <c r="L61" i="1"/>
  <c r="M61" i="1" s="1"/>
  <c r="L62" i="1"/>
  <c r="M62" i="1" s="1"/>
  <c r="L2" i="1"/>
  <c r="M2" i="1" s="1"/>
  <c r="M24" i="1"/>
</calcChain>
</file>

<file path=xl/sharedStrings.xml><?xml version="1.0" encoding="utf-8"?>
<sst xmlns="http://schemas.openxmlformats.org/spreadsheetml/2006/main" count="135" uniqueCount="128">
  <si>
    <t>Sr No</t>
  </si>
  <si>
    <t>Roll No</t>
  </si>
  <si>
    <t>Name</t>
  </si>
  <si>
    <t>A1</t>
  </si>
  <si>
    <t>Mid Term (20)</t>
  </si>
  <si>
    <t>24/EE/001</t>
  </si>
  <si>
    <t>Aaarat Chadda</t>
  </si>
  <si>
    <t>24/EE/002</t>
  </si>
  <si>
    <t>Aadvik Goel</t>
  </si>
  <si>
    <t>24/EE/003</t>
  </si>
  <si>
    <t>Aaradhya Kaushal</t>
  </si>
  <si>
    <t>24/EE/004</t>
  </si>
  <si>
    <t>Aarini Saxena</t>
  </si>
  <si>
    <t>24/EE/005</t>
  </si>
  <si>
    <t>Aashvik Tomar</t>
  </si>
  <si>
    <t>24/EE/006</t>
  </si>
  <si>
    <t>Aayush Jain</t>
  </si>
  <si>
    <t>24/EE/007</t>
  </si>
  <si>
    <t>Aayush Kumar</t>
  </si>
  <si>
    <t>24/EE/008</t>
  </si>
  <si>
    <t>Abhay Kumar</t>
  </si>
  <si>
    <t>24/EE/009</t>
  </si>
  <si>
    <t>Abhay Madan</t>
  </si>
  <si>
    <t>24/EE/010</t>
  </si>
  <si>
    <t>24/EE/011</t>
  </si>
  <si>
    <t>Abhinav Katarawat</t>
  </si>
  <si>
    <t>24/EE/012</t>
  </si>
  <si>
    <t>Abhishek</t>
  </si>
  <si>
    <t>24/EE/013</t>
  </si>
  <si>
    <t>24/EE/014</t>
  </si>
  <si>
    <t>Abhishek Gaurav</t>
  </si>
  <si>
    <t>24/EE/015</t>
  </si>
  <si>
    <t>Abhishek Kumar Singh</t>
  </si>
  <si>
    <t>24/EE/016</t>
  </si>
  <si>
    <t>Adarsh Chaudhary</t>
  </si>
  <si>
    <t>24/EE/017</t>
  </si>
  <si>
    <t>Adarsh Raj</t>
  </si>
  <si>
    <t>24/EE/018</t>
  </si>
  <si>
    <t>A</t>
  </si>
  <si>
    <t>24/EE/019</t>
  </si>
  <si>
    <t>Aditya</t>
  </si>
  <si>
    <t>24/EE/020</t>
  </si>
  <si>
    <t>Aditya Lohia</t>
  </si>
  <si>
    <t>24/EE/021</t>
  </si>
  <si>
    <t>24/EE/022</t>
  </si>
  <si>
    <t>Aditya Soumya</t>
  </si>
  <si>
    <t>24/EE/023</t>
  </si>
  <si>
    <t>Aditya Taank</t>
  </si>
  <si>
    <t>24/EE/024</t>
  </si>
  <si>
    <t>Advay</t>
  </si>
  <si>
    <t>24/EE/025</t>
  </si>
  <si>
    <t>24/EE/026</t>
  </si>
  <si>
    <t>Alok Kumar Jha</t>
  </si>
  <si>
    <t>24/EE/027</t>
  </si>
  <si>
    <t>Amaan Khan</t>
  </si>
  <si>
    <t>24/EE/028</t>
  </si>
  <si>
    <t>Aman</t>
  </si>
  <si>
    <t>24/EE/029</t>
  </si>
  <si>
    <t>Aman Kumar Pandey</t>
  </si>
  <si>
    <t>24/EE/030</t>
  </si>
  <si>
    <t>24/EE/031</t>
  </si>
  <si>
    <t>Amar Kumar</t>
  </si>
  <si>
    <t>24/EE/032</t>
  </si>
  <si>
    <t>Amit</t>
  </si>
  <si>
    <t>24/EE/033</t>
  </si>
  <si>
    <t>Amit Kumar</t>
  </si>
  <si>
    <t>24/EE/034</t>
  </si>
  <si>
    <t>Amijot Singh</t>
  </si>
  <si>
    <t>24/EE/035</t>
  </si>
  <si>
    <t>Amrit Dey</t>
  </si>
  <si>
    <t>24/EE/036</t>
  </si>
  <si>
    <t>Ananay</t>
  </si>
  <si>
    <t>24/EE/037</t>
  </si>
  <si>
    <t>Anand Singh</t>
  </si>
  <si>
    <t>24/EE/038</t>
  </si>
  <si>
    <t>Anant Bhaskar</t>
  </si>
  <si>
    <t>24/EE/039</t>
  </si>
  <si>
    <t>Anant Kumar</t>
  </si>
  <si>
    <t>24/EE/040</t>
  </si>
  <si>
    <t>Anant Kumar Sagar</t>
  </si>
  <si>
    <t>24/EE/041</t>
  </si>
  <si>
    <t>Anit Choudhary</t>
  </si>
  <si>
    <t>24/EE/042</t>
  </si>
  <si>
    <t>Ankush</t>
  </si>
  <si>
    <t>24/EE/043</t>
  </si>
  <si>
    <t>Ankit Raj</t>
  </si>
  <si>
    <t>24/EE/044</t>
  </si>
  <si>
    <t>Ansh Gautam</t>
  </si>
  <si>
    <t>24/EE/045</t>
  </si>
  <si>
    <t>Ansh Kumar Singh</t>
  </si>
  <si>
    <t>24/EE/046</t>
  </si>
  <si>
    <t>Ansh Wadhera</t>
  </si>
  <si>
    <t>24/EE/047</t>
  </si>
  <si>
    <t>Anshul Gautam</t>
  </si>
  <si>
    <t>24/EE/048</t>
  </si>
  <si>
    <t>Anubhav</t>
  </si>
  <si>
    <t>24/EE/049</t>
  </si>
  <si>
    <t>Anubhav Kumar</t>
  </si>
  <si>
    <t>24/EE/050</t>
  </si>
  <si>
    <t>Anurag</t>
  </si>
  <si>
    <t>24/EE/051</t>
  </si>
  <si>
    <t>24/EE/052</t>
  </si>
  <si>
    <t>Archit Arya</t>
  </si>
  <si>
    <t>24/EE/053</t>
  </si>
  <si>
    <t>Arjun Kumar Dubey</t>
  </si>
  <si>
    <t>24/EE/054</t>
  </si>
  <si>
    <t>Aman Dalal</t>
  </si>
  <si>
    <t>24/EE/055</t>
  </si>
  <si>
    <t>Arnav Guglani</t>
  </si>
  <si>
    <t>24/EE/056</t>
  </si>
  <si>
    <t>Arnav Sawhney</t>
  </si>
  <si>
    <t>24/EE/057</t>
  </si>
  <si>
    <t>Arun</t>
  </si>
  <si>
    <t>24/EE/058</t>
  </si>
  <si>
    <t>24/EE/059</t>
  </si>
  <si>
    <t>24/EE/060</t>
  </si>
  <si>
    <t>Aryan Saini</t>
  </si>
  <si>
    <t>22/EE/055</t>
  </si>
  <si>
    <t>Arjun Kumar</t>
  </si>
  <si>
    <t>Abhinav Goel</t>
  </si>
  <si>
    <t>Akanshi Jain</t>
  </si>
  <si>
    <t>Aman Sagar</t>
  </si>
  <si>
    <t>Arunaditya</t>
  </si>
  <si>
    <t>Aryan Chaplot</t>
  </si>
  <si>
    <t>Endterm (40)</t>
  </si>
  <si>
    <t>Class Work (15)</t>
  </si>
  <si>
    <t>Practical (25)</t>
  </si>
  <si>
    <t>Total (100)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</si>
</sst>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rgb="FF000000"/>
      <name val="Calibri"/>
      <charset val="134"/>
    </font>
    <font>
      <sz val="10"/>
      <color rgb="FF434343"/>
      <name val="Calibri"/>
      <family val="2"/>
    </font>
    <font>
      <sz val="10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D62"/>
  <sheetViews>
    <sheetView tabSelected="1" zoomScaleNormal="100" workbookViewId="0">
      <pane xSplit="5" topLeftCell="F1" activePane="topRight" state="frozen"/>
      <selection pane="topRight" activeCell="Q2" sqref="Q2"/>
    </sheetView>
  </sheetViews>
  <sheetFormatPr defaultColWidth="9.1328125" defaultRowHeight="14.25"/>
  <cols>
    <col min="1" max="1" width="7.19921875" bestFit="1" customWidth="1"/>
    <col min="2" max="2" width="10.86328125" style="1" bestFit="1" customWidth="1"/>
    <col min="3" max="3" width="18.33203125" style="1" bestFit="1" customWidth="1"/>
    <col min="4" max="4" width="7.265625" style="1" bestFit="1" customWidth="1"/>
    <col min="5" max="5" width="13.796875" style="1" bestFit="1" customWidth="1"/>
    <col min="6" max="6" width="17.46484375" style="1" bestFit="1" customWidth="1"/>
    <col min="7" max="7" width="16.46484375" style="1" bestFit="1" customWidth="1"/>
    <col min="8" max="9" width="15.53125" style="1" bestFit="1" customWidth="1"/>
    <col min="10" max="10" width="2.73046875" style="1" bestFit="1" customWidth="1"/>
    <col min="11" max="12" width="1.73046875" style="1" bestFit="1" customWidth="1"/>
    <col min="13" max="13" width="2.73046875" style="1" bestFit="1" customWidth="1"/>
    <col min="14" max="14" width="1.73046875" style="1" bestFit="1" customWidth="1"/>
    <col min="15" max="1018" width="9.1328125" style="1"/>
  </cols>
  <sheetData>
    <row r="1" spans="1:14">
      <c r="A1" t="s">
        <v>0</v>
      </c>
      <c r="B1" s="1" t="s">
        <v>1</v>
      </c>
      <c r="C1" s="1" t="s">
        <v>2</v>
      </c>
      <c r="D1" s="1" t="s">
        <v>3</v>
      </c>
      <c r="E1" s="1" t="s">
        <v>127</v>
      </c>
      <c r="F1" s="1" t="s">
        <v>125</v>
      </c>
      <c r="G1" s="1" t="s">
        <v>4</v>
      </c>
      <c r="H1" s="1" t="s">
        <v>126</v>
      </c>
      <c r="I1" s="1" t="s">
        <v>124</v>
      </c>
    </row>
    <row r="2" spans="1:14">
      <c r="A2">
        <v>1</v>
      </c>
      <c r="B2" s="1" t="s">
        <v>5</v>
      </c>
      <c r="C2" s="1" t="s">
        <v>6</v>
      </c>
      <c r="E2" s="1">
        <f>ROUNDUP(SUM(F2:I2),0)</f>
        <v>81</v>
      </c>
      <c r="F2" s="1">
        <f>J2+N2</f>
        <v>11</v>
      </c>
      <c r="G2" s="1">
        <v>13.5</v>
      </c>
      <c r="H2" s="1">
        <v>22</v>
      </c>
      <c r="I2" s="2">
        <v>34</v>
      </c>
      <c r="J2" s="1">
        <v>10</v>
      </c>
      <c r="K2" s="1">
        <v>2</v>
      </c>
      <c r="L2" s="1">
        <f ca="1">RANDBETWEEN(0, 5)</f>
        <v>0</v>
      </c>
      <c r="M2" s="1">
        <f ca="1">ABS(J2-L2)</f>
        <v>10</v>
      </c>
      <c r="N2" s="1">
        <v>1</v>
      </c>
    </row>
    <row r="3" spans="1:14">
      <c r="A3">
        <v>2</v>
      </c>
      <c r="B3" s="1" t="s">
        <v>7</v>
      </c>
      <c r="C3" s="1" t="s">
        <v>8</v>
      </c>
      <c r="E3" s="1">
        <f t="shared" ref="E3:E62" si="0">ROUNDUP(SUM(F3:I3),0)</f>
        <v>60</v>
      </c>
      <c r="F3" s="1">
        <f t="shared" ref="F3:F62" si="1">J3+N3</f>
        <v>2</v>
      </c>
      <c r="G3" s="1">
        <v>9.5</v>
      </c>
      <c r="H3" s="1">
        <v>20</v>
      </c>
      <c r="I3" s="3">
        <v>28</v>
      </c>
      <c r="J3" s="1">
        <v>0</v>
      </c>
      <c r="K3" s="1">
        <v>2</v>
      </c>
      <c r="L3" s="1">
        <f t="shared" ref="L3:N62" ca="1" si="2">RANDBETWEEN(0, 5)</f>
        <v>3</v>
      </c>
      <c r="M3" s="1">
        <f t="shared" ref="M3:M62" ca="1" si="3">ABS(J3-L3)</f>
        <v>3</v>
      </c>
      <c r="N3" s="1">
        <v>2</v>
      </c>
    </row>
    <row r="4" spans="1:14">
      <c r="A4">
        <v>3</v>
      </c>
      <c r="B4" s="1" t="s">
        <v>9</v>
      </c>
      <c r="C4" s="1" t="s">
        <v>10</v>
      </c>
      <c r="E4" s="1">
        <f t="shared" si="0"/>
        <v>83</v>
      </c>
      <c r="F4" s="1">
        <f t="shared" si="1"/>
        <v>11</v>
      </c>
      <c r="G4" s="1">
        <v>17</v>
      </c>
      <c r="H4" s="1">
        <v>21</v>
      </c>
      <c r="I4" s="2">
        <v>34</v>
      </c>
      <c r="J4" s="1">
        <v>10</v>
      </c>
      <c r="K4" s="1">
        <v>4</v>
      </c>
      <c r="L4" s="1">
        <f t="shared" ca="1" si="2"/>
        <v>4</v>
      </c>
      <c r="M4" s="1">
        <f t="shared" ca="1" si="3"/>
        <v>6</v>
      </c>
      <c r="N4" s="1">
        <v>1</v>
      </c>
    </row>
    <row r="5" spans="1:14">
      <c r="A5">
        <v>4</v>
      </c>
      <c r="B5" s="1" t="s">
        <v>11</v>
      </c>
      <c r="C5" s="1" t="s">
        <v>12</v>
      </c>
      <c r="E5" s="1">
        <f t="shared" si="0"/>
        <v>87</v>
      </c>
      <c r="F5" s="1">
        <f t="shared" si="1"/>
        <v>14</v>
      </c>
      <c r="G5" s="1">
        <v>16.5</v>
      </c>
      <c r="H5" s="1">
        <v>21</v>
      </c>
      <c r="I5" s="3">
        <v>35</v>
      </c>
      <c r="J5" s="1">
        <v>10</v>
      </c>
      <c r="K5" s="1">
        <v>4</v>
      </c>
      <c r="L5" s="1">
        <f t="shared" ca="1" si="2"/>
        <v>2</v>
      </c>
      <c r="M5" s="1">
        <f t="shared" ca="1" si="3"/>
        <v>8</v>
      </c>
      <c r="N5" s="1">
        <v>4</v>
      </c>
    </row>
    <row r="6" spans="1:14">
      <c r="A6">
        <v>5</v>
      </c>
      <c r="B6" s="1" t="s">
        <v>13</v>
      </c>
      <c r="C6" s="1" t="s">
        <v>14</v>
      </c>
      <c r="E6" s="1">
        <f t="shared" si="0"/>
        <v>47</v>
      </c>
      <c r="F6" s="1">
        <f t="shared" si="1"/>
        <v>1</v>
      </c>
      <c r="G6" s="1">
        <v>0.5</v>
      </c>
      <c r="H6" s="1">
        <v>17</v>
      </c>
      <c r="I6" s="2">
        <v>28</v>
      </c>
      <c r="J6" s="1">
        <v>0</v>
      </c>
      <c r="K6" s="1">
        <v>5</v>
      </c>
      <c r="L6" s="1">
        <f t="shared" ca="1" si="2"/>
        <v>5</v>
      </c>
      <c r="M6" s="1">
        <f t="shared" ca="1" si="3"/>
        <v>5</v>
      </c>
      <c r="N6" s="1">
        <v>1</v>
      </c>
    </row>
    <row r="7" spans="1:14">
      <c r="A7">
        <v>6</v>
      </c>
      <c r="B7" s="1" t="s">
        <v>15</v>
      </c>
      <c r="C7" s="1" t="s">
        <v>16</v>
      </c>
      <c r="E7" s="1">
        <f t="shared" si="0"/>
        <v>81</v>
      </c>
      <c r="F7" s="1">
        <f t="shared" si="1"/>
        <v>3</v>
      </c>
      <c r="G7" s="1">
        <v>16</v>
      </c>
      <c r="H7" s="1">
        <v>23</v>
      </c>
      <c r="I7" s="3">
        <v>39</v>
      </c>
      <c r="J7" s="1">
        <v>0</v>
      </c>
      <c r="K7" s="1">
        <v>2</v>
      </c>
      <c r="L7" s="1">
        <f t="shared" ca="1" si="2"/>
        <v>4</v>
      </c>
      <c r="M7" s="1">
        <f t="shared" ca="1" si="3"/>
        <v>4</v>
      </c>
      <c r="N7" s="1">
        <v>3</v>
      </c>
    </row>
    <row r="8" spans="1:14">
      <c r="A8">
        <v>7</v>
      </c>
      <c r="B8" s="1" t="s">
        <v>17</v>
      </c>
      <c r="C8" s="1" t="s">
        <v>18</v>
      </c>
      <c r="E8" s="1">
        <f t="shared" si="0"/>
        <v>83</v>
      </c>
      <c r="F8" s="1">
        <f t="shared" si="1"/>
        <v>12</v>
      </c>
      <c r="G8" s="1">
        <v>13</v>
      </c>
      <c r="H8" s="1">
        <v>20</v>
      </c>
      <c r="I8" s="2">
        <v>38</v>
      </c>
      <c r="J8" s="1">
        <v>10</v>
      </c>
      <c r="K8" s="1">
        <v>5</v>
      </c>
      <c r="L8" s="1">
        <f t="shared" ca="1" si="2"/>
        <v>0</v>
      </c>
      <c r="M8" s="1">
        <f t="shared" ca="1" si="3"/>
        <v>10</v>
      </c>
      <c r="N8" s="1">
        <v>2</v>
      </c>
    </row>
    <row r="9" spans="1:14">
      <c r="A9">
        <v>8</v>
      </c>
      <c r="B9" s="1" t="s">
        <v>19</v>
      </c>
      <c r="C9" s="1" t="s">
        <v>20</v>
      </c>
      <c r="E9" s="1">
        <f t="shared" si="0"/>
        <v>88</v>
      </c>
      <c r="F9" s="1">
        <f t="shared" si="1"/>
        <v>15</v>
      </c>
      <c r="G9" s="1">
        <v>18</v>
      </c>
      <c r="H9" s="1">
        <v>21</v>
      </c>
      <c r="I9" s="3">
        <v>34</v>
      </c>
      <c r="J9" s="1">
        <v>10</v>
      </c>
      <c r="K9" s="1">
        <v>5</v>
      </c>
      <c r="L9" s="1">
        <f t="shared" ca="1" si="2"/>
        <v>4</v>
      </c>
      <c r="M9" s="1">
        <f t="shared" ca="1" si="3"/>
        <v>6</v>
      </c>
      <c r="N9" s="1">
        <v>5</v>
      </c>
    </row>
    <row r="10" spans="1:14">
      <c r="A10">
        <v>9</v>
      </c>
      <c r="B10" s="1" t="s">
        <v>21</v>
      </c>
      <c r="C10" s="1" t="s">
        <v>22</v>
      </c>
      <c r="E10" s="1">
        <f t="shared" si="0"/>
        <v>72</v>
      </c>
      <c r="F10" s="1">
        <f t="shared" si="1"/>
        <v>5</v>
      </c>
      <c r="G10" s="1">
        <v>12</v>
      </c>
      <c r="H10" s="1">
        <v>18</v>
      </c>
      <c r="I10" s="2">
        <v>37</v>
      </c>
      <c r="J10" s="1">
        <v>0</v>
      </c>
      <c r="K10" s="1">
        <v>2</v>
      </c>
      <c r="L10" s="1">
        <f t="shared" ca="1" si="2"/>
        <v>1</v>
      </c>
      <c r="M10" s="1">
        <f t="shared" ca="1" si="3"/>
        <v>1</v>
      </c>
      <c r="N10" s="1">
        <v>5</v>
      </c>
    </row>
    <row r="11" spans="1:14">
      <c r="A11">
        <v>10</v>
      </c>
      <c r="B11" s="1" t="s">
        <v>23</v>
      </c>
      <c r="C11" s="1" t="s">
        <v>119</v>
      </c>
      <c r="E11" s="1">
        <f t="shared" si="0"/>
        <v>77</v>
      </c>
      <c r="F11" s="1">
        <f t="shared" si="1"/>
        <v>14</v>
      </c>
      <c r="G11" s="1">
        <v>11</v>
      </c>
      <c r="H11" s="1">
        <v>18</v>
      </c>
      <c r="I11" s="3">
        <v>34</v>
      </c>
      <c r="J11" s="1">
        <v>10</v>
      </c>
      <c r="K11" s="1">
        <v>4</v>
      </c>
      <c r="L11" s="1">
        <f t="shared" ca="1" si="2"/>
        <v>1</v>
      </c>
      <c r="M11" s="1">
        <f t="shared" ca="1" si="3"/>
        <v>9</v>
      </c>
      <c r="N11" s="1">
        <v>4</v>
      </c>
    </row>
    <row r="12" spans="1:14">
      <c r="A12">
        <v>11</v>
      </c>
      <c r="B12" s="1" t="s">
        <v>24</v>
      </c>
      <c r="C12" s="1" t="s">
        <v>25</v>
      </c>
      <c r="E12" s="1">
        <f t="shared" si="0"/>
        <v>36</v>
      </c>
      <c r="F12" s="1">
        <f t="shared" si="1"/>
        <v>1</v>
      </c>
      <c r="G12" s="1">
        <v>4</v>
      </c>
      <c r="H12" s="1">
        <v>16</v>
      </c>
      <c r="I12" s="2">
        <v>15</v>
      </c>
      <c r="J12" s="1">
        <v>0</v>
      </c>
      <c r="K12" s="1">
        <v>2</v>
      </c>
      <c r="L12" s="1">
        <f t="shared" ca="1" si="2"/>
        <v>1</v>
      </c>
      <c r="M12" s="1">
        <f t="shared" ca="1" si="3"/>
        <v>1</v>
      </c>
      <c r="N12" s="1">
        <v>1</v>
      </c>
    </row>
    <row r="13" spans="1:14">
      <c r="A13">
        <v>12</v>
      </c>
      <c r="B13" s="1" t="s">
        <v>26</v>
      </c>
      <c r="C13" s="1" t="s">
        <v>27</v>
      </c>
      <c r="E13" s="1">
        <f t="shared" si="0"/>
        <v>42</v>
      </c>
      <c r="F13" s="1">
        <f t="shared" si="1"/>
        <v>3</v>
      </c>
      <c r="G13" s="1">
        <v>8</v>
      </c>
      <c r="H13" s="1">
        <v>18</v>
      </c>
      <c r="I13" s="3">
        <v>13</v>
      </c>
      <c r="J13" s="1">
        <v>0</v>
      </c>
      <c r="K13" s="1">
        <v>2</v>
      </c>
      <c r="L13" s="1">
        <f t="shared" ca="1" si="2"/>
        <v>2</v>
      </c>
      <c r="M13" s="1">
        <f t="shared" ca="1" si="3"/>
        <v>2</v>
      </c>
      <c r="N13" s="1">
        <v>3</v>
      </c>
    </row>
    <row r="14" spans="1:14">
      <c r="A14">
        <v>13</v>
      </c>
      <c r="B14" s="1" t="s">
        <v>28</v>
      </c>
      <c r="C14" s="1" t="s">
        <v>27</v>
      </c>
      <c r="E14" s="1">
        <f t="shared" si="0"/>
        <v>70</v>
      </c>
      <c r="F14" s="1">
        <f t="shared" si="1"/>
        <v>12</v>
      </c>
      <c r="G14" s="1">
        <v>11</v>
      </c>
      <c r="H14" s="1">
        <v>17</v>
      </c>
      <c r="I14" s="2">
        <v>30</v>
      </c>
      <c r="J14" s="1">
        <v>10</v>
      </c>
      <c r="K14" s="1">
        <v>2</v>
      </c>
      <c r="L14" s="1">
        <f t="shared" ca="1" si="2"/>
        <v>0</v>
      </c>
      <c r="M14" s="1">
        <f t="shared" ca="1" si="3"/>
        <v>10</v>
      </c>
      <c r="N14" s="1">
        <v>2</v>
      </c>
    </row>
    <row r="15" spans="1:14">
      <c r="A15">
        <v>14</v>
      </c>
      <c r="B15" s="1" t="s">
        <v>29</v>
      </c>
      <c r="C15" s="1" t="s">
        <v>30</v>
      </c>
      <c r="E15" s="1">
        <f t="shared" si="0"/>
        <v>58</v>
      </c>
      <c r="F15" s="1">
        <f t="shared" si="1"/>
        <v>2</v>
      </c>
      <c r="G15" s="1">
        <v>9</v>
      </c>
      <c r="H15" s="1">
        <v>17</v>
      </c>
      <c r="I15" s="3">
        <v>30</v>
      </c>
      <c r="J15" s="1">
        <v>0</v>
      </c>
      <c r="K15" s="1">
        <v>2</v>
      </c>
      <c r="L15" s="1">
        <f t="shared" ca="1" si="2"/>
        <v>4</v>
      </c>
      <c r="M15" s="1">
        <f t="shared" ca="1" si="3"/>
        <v>4</v>
      </c>
      <c r="N15" s="1">
        <v>2</v>
      </c>
    </row>
    <row r="16" spans="1:14">
      <c r="A16">
        <v>15</v>
      </c>
      <c r="B16" s="1" t="s">
        <v>31</v>
      </c>
      <c r="C16" s="1" t="s">
        <v>32</v>
      </c>
      <c r="E16" s="1">
        <f t="shared" si="0"/>
        <v>81</v>
      </c>
      <c r="F16" s="1">
        <f t="shared" si="1"/>
        <v>13</v>
      </c>
      <c r="G16" s="1">
        <v>12</v>
      </c>
      <c r="H16" s="1">
        <v>18</v>
      </c>
      <c r="I16" s="2">
        <v>38</v>
      </c>
      <c r="J16" s="1">
        <v>10</v>
      </c>
      <c r="K16" s="1">
        <v>5</v>
      </c>
      <c r="L16" s="1">
        <f t="shared" ca="1" si="2"/>
        <v>3</v>
      </c>
      <c r="M16" s="1">
        <f t="shared" ca="1" si="3"/>
        <v>7</v>
      </c>
      <c r="N16" s="1">
        <v>3</v>
      </c>
    </row>
    <row r="17" spans="1:14">
      <c r="A17">
        <v>16</v>
      </c>
      <c r="B17" s="1" t="s">
        <v>33</v>
      </c>
      <c r="C17" s="1" t="s">
        <v>34</v>
      </c>
      <c r="E17" s="1">
        <f t="shared" si="0"/>
        <v>61</v>
      </c>
      <c r="F17" s="1">
        <f t="shared" si="1"/>
        <v>4</v>
      </c>
      <c r="G17" s="1">
        <v>9.5</v>
      </c>
      <c r="H17" s="1">
        <v>17</v>
      </c>
      <c r="I17" s="3">
        <v>30</v>
      </c>
      <c r="J17" s="1">
        <v>0</v>
      </c>
      <c r="K17" s="1">
        <v>5</v>
      </c>
      <c r="L17" s="1">
        <f t="shared" ca="1" si="2"/>
        <v>4</v>
      </c>
      <c r="M17" s="1">
        <f t="shared" ca="1" si="3"/>
        <v>4</v>
      </c>
      <c r="N17" s="1">
        <v>4</v>
      </c>
    </row>
    <row r="18" spans="1:14">
      <c r="A18">
        <v>17</v>
      </c>
      <c r="B18" s="1" t="s">
        <v>35</v>
      </c>
      <c r="C18" s="1" t="s">
        <v>36</v>
      </c>
      <c r="E18" s="1">
        <f t="shared" si="0"/>
        <v>69</v>
      </c>
      <c r="F18" s="1">
        <f t="shared" si="1"/>
        <v>13</v>
      </c>
      <c r="G18" s="1">
        <v>11.5</v>
      </c>
      <c r="H18" s="1">
        <v>18</v>
      </c>
      <c r="I18" s="2">
        <v>26</v>
      </c>
      <c r="J18" s="1">
        <v>10</v>
      </c>
      <c r="K18" s="1">
        <v>5</v>
      </c>
      <c r="L18" s="1">
        <f t="shared" ca="1" si="2"/>
        <v>0</v>
      </c>
      <c r="M18" s="1">
        <f t="shared" ca="1" si="3"/>
        <v>10</v>
      </c>
      <c r="N18" s="1">
        <v>3</v>
      </c>
    </row>
    <row r="19" spans="1:14">
      <c r="A19">
        <v>18</v>
      </c>
      <c r="B19" s="1" t="s">
        <v>37</v>
      </c>
      <c r="E19" s="1">
        <f t="shared" si="0"/>
        <v>0</v>
      </c>
      <c r="F19" s="1">
        <f t="shared" si="1"/>
        <v>0</v>
      </c>
      <c r="G19" s="1" t="s">
        <v>38</v>
      </c>
      <c r="H19" s="1" t="s">
        <v>38</v>
      </c>
      <c r="I19" s="4" t="s">
        <v>38</v>
      </c>
      <c r="J19" s="1">
        <v>0</v>
      </c>
      <c r="K19" s="1">
        <v>5</v>
      </c>
      <c r="L19" s="1">
        <f t="shared" ca="1" si="2"/>
        <v>5</v>
      </c>
      <c r="M19" s="1">
        <f t="shared" ca="1" si="3"/>
        <v>5</v>
      </c>
      <c r="N19" s="1">
        <v>0</v>
      </c>
    </row>
    <row r="20" spans="1:14">
      <c r="A20">
        <v>19</v>
      </c>
      <c r="B20" s="1" t="s">
        <v>39</v>
      </c>
      <c r="C20" s="1" t="s">
        <v>40</v>
      </c>
      <c r="E20" s="1">
        <f t="shared" si="0"/>
        <v>80</v>
      </c>
      <c r="F20" s="1">
        <f t="shared" si="1"/>
        <v>12</v>
      </c>
      <c r="G20" s="1">
        <v>12</v>
      </c>
      <c r="H20" s="1">
        <v>21</v>
      </c>
      <c r="I20" s="2">
        <v>35</v>
      </c>
      <c r="J20" s="1">
        <v>10</v>
      </c>
      <c r="K20" s="1">
        <v>5</v>
      </c>
      <c r="L20" s="1">
        <f t="shared" ca="1" si="2"/>
        <v>4</v>
      </c>
      <c r="M20" s="1">
        <f t="shared" ca="1" si="3"/>
        <v>6</v>
      </c>
      <c r="N20" s="1">
        <v>2</v>
      </c>
    </row>
    <row r="21" spans="1:14">
      <c r="A21">
        <v>20</v>
      </c>
      <c r="B21" s="1" t="s">
        <v>41</v>
      </c>
      <c r="C21" s="1" t="s">
        <v>42</v>
      </c>
      <c r="E21" s="1">
        <f t="shared" si="0"/>
        <v>62</v>
      </c>
      <c r="F21" s="1">
        <f t="shared" si="1"/>
        <v>13</v>
      </c>
      <c r="G21" s="1">
        <v>3</v>
      </c>
      <c r="H21" s="1">
        <v>17</v>
      </c>
      <c r="I21" s="3">
        <v>29</v>
      </c>
      <c r="J21" s="1">
        <v>10</v>
      </c>
      <c r="K21" s="1">
        <v>5</v>
      </c>
      <c r="L21" s="1">
        <f t="shared" ca="1" si="2"/>
        <v>5</v>
      </c>
      <c r="M21" s="1">
        <f t="shared" ca="1" si="3"/>
        <v>5</v>
      </c>
      <c r="N21" s="1">
        <v>3</v>
      </c>
    </row>
    <row r="22" spans="1:14">
      <c r="A22">
        <v>21</v>
      </c>
      <c r="B22" s="1" t="s">
        <v>43</v>
      </c>
      <c r="E22" s="1">
        <f t="shared" si="0"/>
        <v>0</v>
      </c>
      <c r="F22" s="1">
        <f t="shared" si="1"/>
        <v>0</v>
      </c>
      <c r="G22" s="1" t="s">
        <v>38</v>
      </c>
      <c r="H22" s="1" t="s">
        <v>38</v>
      </c>
      <c r="I22" s="5" t="s">
        <v>38</v>
      </c>
      <c r="J22" s="1">
        <v>0</v>
      </c>
      <c r="K22" s="1">
        <v>5</v>
      </c>
      <c r="L22" s="1">
        <f t="shared" ca="1" si="2"/>
        <v>3</v>
      </c>
      <c r="M22" s="1">
        <f t="shared" ca="1" si="3"/>
        <v>3</v>
      </c>
      <c r="N22" s="1">
        <v>0</v>
      </c>
    </row>
    <row r="23" spans="1:14">
      <c r="A23">
        <v>22</v>
      </c>
      <c r="B23" s="1" t="s">
        <v>44</v>
      </c>
      <c r="C23" s="1" t="s">
        <v>45</v>
      </c>
      <c r="E23" s="1">
        <f t="shared" si="0"/>
        <v>57</v>
      </c>
      <c r="F23" s="1">
        <f t="shared" si="1"/>
        <v>5</v>
      </c>
      <c r="G23" s="1">
        <v>7.5</v>
      </c>
      <c r="H23" s="1">
        <v>18</v>
      </c>
      <c r="I23" s="3">
        <v>26</v>
      </c>
      <c r="J23" s="1">
        <v>0</v>
      </c>
      <c r="K23" s="1">
        <v>5</v>
      </c>
      <c r="L23" s="1">
        <f t="shared" ca="1" si="2"/>
        <v>2</v>
      </c>
      <c r="M23" s="1">
        <f t="shared" ca="1" si="3"/>
        <v>2</v>
      </c>
      <c r="N23" s="1">
        <v>5</v>
      </c>
    </row>
    <row r="24" spans="1:14">
      <c r="A24">
        <v>23</v>
      </c>
      <c r="B24" s="1" t="s">
        <v>46</v>
      </c>
      <c r="C24" s="1" t="s">
        <v>47</v>
      </c>
      <c r="E24" s="1">
        <f t="shared" si="0"/>
        <v>59</v>
      </c>
      <c r="F24" s="1">
        <f t="shared" si="1"/>
        <v>3</v>
      </c>
      <c r="G24" s="1">
        <v>7.5</v>
      </c>
      <c r="H24" s="1">
        <v>20</v>
      </c>
      <c r="I24" s="2">
        <v>28</v>
      </c>
      <c r="J24" s="1">
        <v>0</v>
      </c>
      <c r="K24" s="1">
        <v>5</v>
      </c>
      <c r="L24" s="1">
        <f t="shared" ca="1" si="2"/>
        <v>3</v>
      </c>
      <c r="M24" s="1">
        <f t="shared" ca="1" si="3"/>
        <v>3</v>
      </c>
      <c r="N24" s="1">
        <v>3</v>
      </c>
    </row>
    <row r="25" spans="1:14">
      <c r="A25">
        <v>24</v>
      </c>
      <c r="B25" s="1" t="s">
        <v>48</v>
      </c>
      <c r="C25" s="1" t="s">
        <v>49</v>
      </c>
      <c r="E25" s="1">
        <f t="shared" si="0"/>
        <v>46</v>
      </c>
      <c r="F25" s="1">
        <f t="shared" si="1"/>
        <v>2</v>
      </c>
      <c r="G25" s="1">
        <v>6.5</v>
      </c>
      <c r="H25" s="1">
        <v>19</v>
      </c>
      <c r="I25" s="3">
        <v>18</v>
      </c>
      <c r="J25" s="1">
        <v>0</v>
      </c>
      <c r="K25" s="1">
        <v>5</v>
      </c>
      <c r="L25" s="1">
        <f t="shared" ca="1" si="2"/>
        <v>1</v>
      </c>
      <c r="M25" s="1">
        <f t="shared" ca="1" si="3"/>
        <v>1</v>
      </c>
      <c r="N25" s="1">
        <v>2</v>
      </c>
    </row>
    <row r="26" spans="1:14">
      <c r="A26">
        <v>25</v>
      </c>
      <c r="B26" s="1" t="s">
        <v>50</v>
      </c>
      <c r="C26" s="1" t="s">
        <v>120</v>
      </c>
      <c r="E26" s="1">
        <f t="shared" si="0"/>
        <v>69</v>
      </c>
      <c r="F26" s="1">
        <f t="shared" si="1"/>
        <v>1</v>
      </c>
      <c r="G26" s="1">
        <v>12</v>
      </c>
      <c r="H26" s="1">
        <v>22</v>
      </c>
      <c r="I26" s="2">
        <v>34</v>
      </c>
      <c r="J26" s="1">
        <v>0</v>
      </c>
      <c r="K26" s="1">
        <v>5</v>
      </c>
      <c r="L26" s="1">
        <f t="shared" ca="1" si="2"/>
        <v>5</v>
      </c>
      <c r="M26" s="1">
        <f t="shared" ca="1" si="3"/>
        <v>5</v>
      </c>
      <c r="N26" s="1">
        <v>1</v>
      </c>
    </row>
    <row r="27" spans="1:14">
      <c r="A27">
        <v>26</v>
      </c>
      <c r="B27" s="1" t="s">
        <v>51</v>
      </c>
      <c r="C27" s="1" t="s">
        <v>52</v>
      </c>
      <c r="E27" s="1">
        <f t="shared" si="0"/>
        <v>80</v>
      </c>
      <c r="F27" s="1">
        <f t="shared" si="1"/>
        <v>4</v>
      </c>
      <c r="G27" s="1">
        <v>16.5</v>
      </c>
      <c r="H27" s="1">
        <v>20</v>
      </c>
      <c r="I27" s="3">
        <v>39</v>
      </c>
      <c r="J27" s="1">
        <v>0</v>
      </c>
      <c r="K27" s="1">
        <v>5</v>
      </c>
      <c r="L27" s="1">
        <f t="shared" ca="1" si="2"/>
        <v>5</v>
      </c>
      <c r="M27" s="1">
        <f t="shared" ca="1" si="3"/>
        <v>5</v>
      </c>
      <c r="N27" s="1">
        <v>4</v>
      </c>
    </row>
    <row r="28" spans="1:14">
      <c r="A28">
        <v>27</v>
      </c>
      <c r="B28" s="1" t="s">
        <v>53</v>
      </c>
      <c r="C28" s="1" t="s">
        <v>54</v>
      </c>
      <c r="E28" s="1">
        <f t="shared" si="0"/>
        <v>59</v>
      </c>
      <c r="F28" s="1">
        <f t="shared" si="1"/>
        <v>2</v>
      </c>
      <c r="G28" s="1">
        <v>6.5</v>
      </c>
      <c r="H28" s="1">
        <v>20</v>
      </c>
      <c r="I28" s="2">
        <v>30</v>
      </c>
      <c r="J28" s="1">
        <v>0</v>
      </c>
      <c r="K28" s="1">
        <v>5</v>
      </c>
      <c r="L28" s="1">
        <f t="shared" ca="1" si="2"/>
        <v>3</v>
      </c>
      <c r="M28" s="1">
        <f t="shared" ca="1" si="3"/>
        <v>3</v>
      </c>
      <c r="N28" s="1">
        <v>2</v>
      </c>
    </row>
    <row r="29" spans="1:14">
      <c r="A29">
        <v>28</v>
      </c>
      <c r="B29" s="1" t="s">
        <v>55</v>
      </c>
      <c r="C29" s="1" t="s">
        <v>56</v>
      </c>
      <c r="E29" s="1">
        <f t="shared" si="0"/>
        <v>58</v>
      </c>
      <c r="F29" s="1">
        <f t="shared" si="1"/>
        <v>2</v>
      </c>
      <c r="G29" s="1">
        <v>9.5</v>
      </c>
      <c r="H29" s="1">
        <v>23</v>
      </c>
      <c r="I29" s="3">
        <v>23</v>
      </c>
      <c r="J29" s="1">
        <v>0</v>
      </c>
      <c r="K29" s="1">
        <v>5</v>
      </c>
      <c r="L29" s="1">
        <f t="shared" ca="1" si="2"/>
        <v>1</v>
      </c>
      <c r="M29" s="1">
        <f t="shared" ca="1" si="3"/>
        <v>1</v>
      </c>
      <c r="N29" s="1">
        <v>2</v>
      </c>
    </row>
    <row r="30" spans="1:14">
      <c r="A30">
        <v>29</v>
      </c>
      <c r="B30" s="1" t="s">
        <v>57</v>
      </c>
      <c r="C30" s="1" t="s">
        <v>58</v>
      </c>
      <c r="E30" s="1">
        <f t="shared" si="0"/>
        <v>80</v>
      </c>
      <c r="F30" s="1">
        <f t="shared" si="1"/>
        <v>13</v>
      </c>
      <c r="G30" s="1">
        <v>15</v>
      </c>
      <c r="H30" s="1">
        <v>22</v>
      </c>
      <c r="I30" s="2">
        <v>30</v>
      </c>
      <c r="J30" s="1">
        <v>10</v>
      </c>
      <c r="K30" s="1">
        <v>5</v>
      </c>
      <c r="L30" s="1">
        <f t="shared" ca="1" si="2"/>
        <v>2</v>
      </c>
      <c r="M30" s="1">
        <f t="shared" ca="1" si="3"/>
        <v>8</v>
      </c>
      <c r="N30" s="1">
        <v>3</v>
      </c>
    </row>
    <row r="31" spans="1:14">
      <c r="A31">
        <v>30</v>
      </c>
      <c r="B31" s="1" t="s">
        <v>59</v>
      </c>
      <c r="C31" s="1" t="s">
        <v>121</v>
      </c>
      <c r="E31" s="1">
        <f t="shared" si="0"/>
        <v>61</v>
      </c>
      <c r="F31" s="1">
        <f t="shared" si="1"/>
        <v>2</v>
      </c>
      <c r="G31" s="1">
        <v>11.5</v>
      </c>
      <c r="H31" s="1">
        <v>21</v>
      </c>
      <c r="I31" s="3">
        <v>26</v>
      </c>
      <c r="J31" s="1">
        <v>0</v>
      </c>
      <c r="K31" s="1">
        <v>5</v>
      </c>
      <c r="L31" s="1">
        <f t="shared" ca="1" si="2"/>
        <v>3</v>
      </c>
      <c r="M31" s="1">
        <f t="shared" ca="1" si="3"/>
        <v>3</v>
      </c>
      <c r="N31" s="1">
        <v>2</v>
      </c>
    </row>
    <row r="32" spans="1:14">
      <c r="A32">
        <v>31</v>
      </c>
      <c r="B32" s="1" t="s">
        <v>60</v>
      </c>
      <c r="C32" s="1" t="s">
        <v>61</v>
      </c>
      <c r="E32" s="1">
        <f t="shared" si="0"/>
        <v>67</v>
      </c>
      <c r="F32" s="1">
        <f t="shared" si="1"/>
        <v>3</v>
      </c>
      <c r="G32" s="1">
        <v>13.5</v>
      </c>
      <c r="H32" s="1">
        <v>20</v>
      </c>
      <c r="I32" s="2">
        <v>30</v>
      </c>
      <c r="J32" s="1">
        <v>0</v>
      </c>
      <c r="K32" s="1">
        <v>5</v>
      </c>
      <c r="L32" s="1">
        <f t="shared" ca="1" si="2"/>
        <v>2</v>
      </c>
      <c r="M32" s="1">
        <f t="shared" ca="1" si="3"/>
        <v>2</v>
      </c>
      <c r="N32" s="1">
        <v>3</v>
      </c>
    </row>
    <row r="33" spans="1:14">
      <c r="A33">
        <v>32</v>
      </c>
      <c r="B33" s="1" t="s">
        <v>62</v>
      </c>
      <c r="C33" s="1" t="s">
        <v>63</v>
      </c>
      <c r="E33" s="1">
        <f t="shared" si="0"/>
        <v>74</v>
      </c>
      <c r="F33" s="1">
        <f t="shared" si="1"/>
        <v>11</v>
      </c>
      <c r="G33" s="1">
        <v>10</v>
      </c>
      <c r="H33" s="1">
        <v>21</v>
      </c>
      <c r="I33" s="3">
        <v>32</v>
      </c>
      <c r="J33" s="1">
        <v>10</v>
      </c>
      <c r="K33" s="1">
        <v>5</v>
      </c>
      <c r="L33" s="1">
        <f t="shared" ca="1" si="2"/>
        <v>4</v>
      </c>
      <c r="M33" s="1">
        <f t="shared" ca="1" si="3"/>
        <v>6</v>
      </c>
      <c r="N33" s="1">
        <v>1</v>
      </c>
    </row>
    <row r="34" spans="1:14">
      <c r="A34">
        <v>33</v>
      </c>
      <c r="B34" s="1" t="s">
        <v>64</v>
      </c>
      <c r="C34" s="1" t="s">
        <v>65</v>
      </c>
      <c r="E34" s="1">
        <f t="shared" si="0"/>
        <v>89</v>
      </c>
      <c r="F34" s="1">
        <f t="shared" si="1"/>
        <v>11</v>
      </c>
      <c r="G34" s="1">
        <v>18.5</v>
      </c>
      <c r="H34" s="1">
        <v>23</v>
      </c>
      <c r="I34" s="2">
        <v>36</v>
      </c>
      <c r="J34" s="1">
        <v>10</v>
      </c>
      <c r="K34" s="1">
        <v>5</v>
      </c>
      <c r="L34" s="1">
        <f t="shared" ca="1" si="2"/>
        <v>1</v>
      </c>
      <c r="M34" s="1">
        <f t="shared" ca="1" si="3"/>
        <v>9</v>
      </c>
      <c r="N34" s="1">
        <v>1</v>
      </c>
    </row>
    <row r="35" spans="1:14">
      <c r="A35">
        <v>34</v>
      </c>
      <c r="B35" s="1" t="s">
        <v>66</v>
      </c>
      <c r="C35" s="1" t="s">
        <v>67</v>
      </c>
      <c r="E35" s="1">
        <f t="shared" si="0"/>
        <v>93</v>
      </c>
      <c r="F35" s="1">
        <f t="shared" si="1"/>
        <v>13</v>
      </c>
      <c r="G35" s="1">
        <v>17</v>
      </c>
      <c r="H35" s="1">
        <v>23</v>
      </c>
      <c r="I35" s="3">
        <v>40</v>
      </c>
      <c r="J35" s="1">
        <v>10</v>
      </c>
      <c r="K35" s="1">
        <v>5</v>
      </c>
      <c r="L35" s="1">
        <f t="shared" ca="1" si="2"/>
        <v>3</v>
      </c>
      <c r="M35" s="1">
        <f t="shared" ca="1" si="3"/>
        <v>7</v>
      </c>
      <c r="N35" s="1">
        <v>3</v>
      </c>
    </row>
    <row r="36" spans="1:14">
      <c r="A36">
        <v>35</v>
      </c>
      <c r="B36" s="1" t="s">
        <v>68</v>
      </c>
      <c r="C36" s="1" t="s">
        <v>69</v>
      </c>
      <c r="E36" s="1">
        <f t="shared" si="0"/>
        <v>84</v>
      </c>
      <c r="F36" s="1">
        <f t="shared" si="1"/>
        <v>13</v>
      </c>
      <c r="G36" s="1">
        <v>17.5</v>
      </c>
      <c r="H36" s="1">
        <v>20</v>
      </c>
      <c r="I36" s="2">
        <v>33</v>
      </c>
      <c r="J36" s="1">
        <v>10</v>
      </c>
      <c r="K36" s="1">
        <v>5</v>
      </c>
      <c r="L36" s="1">
        <f t="shared" ca="1" si="2"/>
        <v>2</v>
      </c>
      <c r="M36" s="1">
        <f t="shared" ca="1" si="3"/>
        <v>8</v>
      </c>
      <c r="N36" s="1">
        <v>3</v>
      </c>
    </row>
    <row r="37" spans="1:14">
      <c r="A37">
        <v>36</v>
      </c>
      <c r="B37" s="1" t="s">
        <v>70</v>
      </c>
      <c r="C37" s="1" t="s">
        <v>71</v>
      </c>
      <c r="E37" s="1">
        <f t="shared" si="0"/>
        <v>98</v>
      </c>
      <c r="F37" s="1">
        <f t="shared" si="1"/>
        <v>15</v>
      </c>
      <c r="G37" s="1">
        <v>20</v>
      </c>
      <c r="H37" s="1">
        <v>23</v>
      </c>
      <c r="I37" s="3">
        <v>40</v>
      </c>
      <c r="J37" s="1">
        <v>10</v>
      </c>
      <c r="K37" s="1">
        <v>5</v>
      </c>
      <c r="L37" s="1">
        <f t="shared" ca="1" si="2"/>
        <v>0</v>
      </c>
      <c r="M37" s="1">
        <f t="shared" ca="1" si="3"/>
        <v>10</v>
      </c>
      <c r="N37" s="1">
        <v>5</v>
      </c>
    </row>
    <row r="38" spans="1:14">
      <c r="A38">
        <v>37</v>
      </c>
      <c r="B38" s="1" t="s">
        <v>72</v>
      </c>
      <c r="C38" s="1" t="s">
        <v>73</v>
      </c>
      <c r="E38" s="1">
        <f t="shared" si="0"/>
        <v>76</v>
      </c>
      <c r="F38" s="1">
        <f t="shared" si="1"/>
        <v>14</v>
      </c>
      <c r="G38" s="1">
        <v>12</v>
      </c>
      <c r="H38" s="1">
        <v>20</v>
      </c>
      <c r="I38" s="2">
        <v>30</v>
      </c>
      <c r="J38" s="1">
        <v>10</v>
      </c>
      <c r="K38" s="1">
        <v>5</v>
      </c>
      <c r="L38" s="1">
        <f t="shared" ca="1" si="2"/>
        <v>3</v>
      </c>
      <c r="M38" s="1">
        <f t="shared" ca="1" si="3"/>
        <v>7</v>
      </c>
      <c r="N38" s="1">
        <v>4</v>
      </c>
    </row>
    <row r="39" spans="1:14">
      <c r="A39">
        <v>38</v>
      </c>
      <c r="B39" s="1" t="s">
        <v>74</v>
      </c>
      <c r="C39" s="1" t="s">
        <v>75</v>
      </c>
      <c r="E39" s="1">
        <f t="shared" si="0"/>
        <v>46</v>
      </c>
      <c r="F39" s="1">
        <f t="shared" si="1"/>
        <v>2</v>
      </c>
      <c r="G39" s="1">
        <v>3</v>
      </c>
      <c r="H39" s="1">
        <v>19</v>
      </c>
      <c r="I39" s="3">
        <v>22</v>
      </c>
      <c r="J39" s="1">
        <v>0</v>
      </c>
      <c r="K39" s="1">
        <v>5</v>
      </c>
      <c r="L39" s="1">
        <f t="shared" ca="1" si="2"/>
        <v>3</v>
      </c>
      <c r="M39" s="1">
        <f t="shared" ca="1" si="3"/>
        <v>3</v>
      </c>
      <c r="N39" s="1">
        <v>2</v>
      </c>
    </row>
    <row r="40" spans="1:14">
      <c r="A40">
        <v>39</v>
      </c>
      <c r="B40" s="1" t="s">
        <v>76</v>
      </c>
      <c r="C40" s="1" t="s">
        <v>77</v>
      </c>
      <c r="E40" s="1">
        <f t="shared" si="0"/>
        <v>84</v>
      </c>
      <c r="F40" s="1">
        <f t="shared" si="1"/>
        <v>14</v>
      </c>
      <c r="G40" s="1">
        <v>16.5</v>
      </c>
      <c r="H40" s="1">
        <v>20</v>
      </c>
      <c r="I40" s="2">
        <v>33</v>
      </c>
      <c r="J40" s="1">
        <v>10</v>
      </c>
      <c r="K40" s="1">
        <v>5</v>
      </c>
      <c r="L40" s="1">
        <f t="shared" ca="1" si="2"/>
        <v>5</v>
      </c>
      <c r="M40" s="1">
        <f t="shared" ca="1" si="3"/>
        <v>5</v>
      </c>
      <c r="N40" s="1">
        <v>4</v>
      </c>
    </row>
    <row r="41" spans="1:14">
      <c r="A41">
        <v>40</v>
      </c>
      <c r="B41" s="1" t="s">
        <v>78</v>
      </c>
      <c r="C41" s="1" t="s">
        <v>79</v>
      </c>
      <c r="E41" s="1">
        <f t="shared" si="0"/>
        <v>58</v>
      </c>
      <c r="F41" s="1">
        <f t="shared" si="1"/>
        <v>2</v>
      </c>
      <c r="G41" s="1">
        <v>7</v>
      </c>
      <c r="H41" s="1">
        <v>19</v>
      </c>
      <c r="I41" s="3">
        <v>30</v>
      </c>
      <c r="J41" s="1">
        <v>0</v>
      </c>
      <c r="K41" s="1">
        <v>5</v>
      </c>
      <c r="L41" s="1">
        <f t="shared" ca="1" si="2"/>
        <v>1</v>
      </c>
      <c r="M41" s="1">
        <f t="shared" ca="1" si="3"/>
        <v>1</v>
      </c>
      <c r="N41" s="1">
        <v>2</v>
      </c>
    </row>
    <row r="42" spans="1:14">
      <c r="A42">
        <v>41</v>
      </c>
      <c r="B42" s="1" t="s">
        <v>80</v>
      </c>
      <c r="C42" s="1" t="s">
        <v>81</v>
      </c>
      <c r="E42" s="1">
        <f t="shared" si="0"/>
        <v>48</v>
      </c>
      <c r="F42" s="1">
        <f t="shared" si="1"/>
        <v>4</v>
      </c>
      <c r="G42" s="1">
        <v>16</v>
      </c>
      <c r="H42" s="1">
        <v>14.5</v>
      </c>
      <c r="I42" s="2">
        <v>13</v>
      </c>
      <c r="J42" s="1">
        <v>0</v>
      </c>
      <c r="K42" s="1">
        <v>5</v>
      </c>
      <c r="L42" s="1">
        <f t="shared" ca="1" si="2"/>
        <v>0</v>
      </c>
      <c r="M42" s="1">
        <f t="shared" ca="1" si="3"/>
        <v>0</v>
      </c>
      <c r="N42" s="1">
        <v>4</v>
      </c>
    </row>
    <row r="43" spans="1:14">
      <c r="A43">
        <v>42</v>
      </c>
      <c r="B43" s="1" t="s">
        <v>82</v>
      </c>
      <c r="C43" s="1" t="s">
        <v>83</v>
      </c>
      <c r="E43" s="1">
        <f t="shared" si="0"/>
        <v>74</v>
      </c>
      <c r="F43" s="1">
        <f t="shared" si="1"/>
        <v>12</v>
      </c>
      <c r="G43" s="1">
        <v>16.5</v>
      </c>
      <c r="H43" s="1">
        <v>19</v>
      </c>
      <c r="I43" s="3">
        <v>26</v>
      </c>
      <c r="J43" s="1">
        <v>10</v>
      </c>
      <c r="K43" s="1">
        <v>5</v>
      </c>
      <c r="L43" s="1">
        <f t="shared" ca="1" si="2"/>
        <v>0</v>
      </c>
      <c r="M43" s="1">
        <f t="shared" ca="1" si="3"/>
        <v>10</v>
      </c>
      <c r="N43" s="1">
        <v>2</v>
      </c>
    </row>
    <row r="44" spans="1:14">
      <c r="A44">
        <v>43</v>
      </c>
      <c r="B44" s="1" t="s">
        <v>84</v>
      </c>
      <c r="C44" s="1" t="s">
        <v>85</v>
      </c>
      <c r="E44" s="1">
        <f t="shared" si="0"/>
        <v>90</v>
      </c>
      <c r="F44" s="1">
        <f t="shared" si="1"/>
        <v>14</v>
      </c>
      <c r="G44" s="1">
        <v>14.5</v>
      </c>
      <c r="H44" s="1">
        <v>22</v>
      </c>
      <c r="I44" s="2">
        <v>39</v>
      </c>
      <c r="J44" s="1">
        <v>10</v>
      </c>
      <c r="K44" s="1">
        <v>5</v>
      </c>
      <c r="L44" s="1">
        <f t="shared" ca="1" si="2"/>
        <v>1</v>
      </c>
      <c r="M44" s="1">
        <f t="shared" ca="1" si="3"/>
        <v>9</v>
      </c>
      <c r="N44" s="1">
        <v>4</v>
      </c>
    </row>
    <row r="45" spans="1:14">
      <c r="A45">
        <v>44</v>
      </c>
      <c r="B45" s="1" t="s">
        <v>86</v>
      </c>
      <c r="C45" s="1" t="s">
        <v>87</v>
      </c>
      <c r="E45" s="1">
        <f t="shared" si="0"/>
        <v>61</v>
      </c>
      <c r="F45" s="1">
        <f t="shared" si="1"/>
        <v>5</v>
      </c>
      <c r="G45" s="1">
        <v>7</v>
      </c>
      <c r="H45" s="1">
        <v>17.5</v>
      </c>
      <c r="I45" s="3">
        <v>31</v>
      </c>
      <c r="J45" s="1">
        <v>0</v>
      </c>
      <c r="K45" s="1">
        <v>5</v>
      </c>
      <c r="L45" s="1">
        <f t="shared" ca="1" si="2"/>
        <v>1</v>
      </c>
      <c r="M45" s="1">
        <f t="shared" ca="1" si="3"/>
        <v>1</v>
      </c>
      <c r="N45" s="1">
        <v>5</v>
      </c>
    </row>
    <row r="46" spans="1:14">
      <c r="A46">
        <v>45</v>
      </c>
      <c r="B46" s="1" t="s">
        <v>88</v>
      </c>
      <c r="C46" s="1" t="s">
        <v>89</v>
      </c>
      <c r="E46" s="1">
        <f t="shared" si="0"/>
        <v>82</v>
      </c>
      <c r="F46" s="1">
        <f t="shared" si="1"/>
        <v>12</v>
      </c>
      <c r="G46" s="1">
        <v>12</v>
      </c>
      <c r="H46" s="1">
        <v>19.5</v>
      </c>
      <c r="I46" s="2">
        <v>38</v>
      </c>
      <c r="J46" s="1">
        <v>10</v>
      </c>
      <c r="K46" s="1">
        <v>5</v>
      </c>
      <c r="L46" s="1">
        <f t="shared" ca="1" si="2"/>
        <v>3</v>
      </c>
      <c r="M46" s="1">
        <f t="shared" ca="1" si="3"/>
        <v>7</v>
      </c>
      <c r="N46" s="1">
        <v>2</v>
      </c>
    </row>
    <row r="47" spans="1:14">
      <c r="A47">
        <v>46</v>
      </c>
      <c r="B47" s="1" t="s">
        <v>90</v>
      </c>
      <c r="C47" s="1" t="s">
        <v>91</v>
      </c>
      <c r="E47" s="1">
        <f t="shared" si="0"/>
        <v>76</v>
      </c>
      <c r="F47" s="1">
        <f t="shared" si="1"/>
        <v>14</v>
      </c>
      <c r="G47" s="1">
        <v>14</v>
      </c>
      <c r="H47" s="1">
        <v>20.5</v>
      </c>
      <c r="I47" s="3">
        <v>27</v>
      </c>
      <c r="J47" s="1">
        <v>10</v>
      </c>
      <c r="K47" s="1">
        <v>5</v>
      </c>
      <c r="L47" s="1">
        <f t="shared" ca="1" si="2"/>
        <v>1</v>
      </c>
      <c r="M47" s="1">
        <f t="shared" ca="1" si="3"/>
        <v>9</v>
      </c>
      <c r="N47" s="1">
        <v>4</v>
      </c>
    </row>
    <row r="48" spans="1:14">
      <c r="A48">
        <v>47</v>
      </c>
      <c r="B48" s="1" t="s">
        <v>92</v>
      </c>
      <c r="C48" s="1" t="s">
        <v>93</v>
      </c>
      <c r="E48" s="1">
        <f t="shared" si="0"/>
        <v>61</v>
      </c>
      <c r="F48" s="1">
        <f t="shared" si="1"/>
        <v>15</v>
      </c>
      <c r="G48" s="1">
        <v>6</v>
      </c>
      <c r="H48" s="1">
        <v>18</v>
      </c>
      <c r="I48" s="2">
        <v>22</v>
      </c>
      <c r="J48" s="1">
        <v>10</v>
      </c>
      <c r="K48" s="1">
        <v>5</v>
      </c>
      <c r="L48" s="1">
        <f t="shared" ca="1" si="2"/>
        <v>4</v>
      </c>
      <c r="M48" s="1">
        <f t="shared" ca="1" si="3"/>
        <v>6</v>
      </c>
      <c r="N48" s="1">
        <v>5</v>
      </c>
    </row>
    <row r="49" spans="1:14">
      <c r="A49">
        <v>48</v>
      </c>
      <c r="B49" s="1" t="s">
        <v>94</v>
      </c>
      <c r="C49" s="1" t="s">
        <v>95</v>
      </c>
      <c r="E49" s="1">
        <f t="shared" si="0"/>
        <v>85</v>
      </c>
      <c r="F49" s="1">
        <f t="shared" si="1"/>
        <v>13</v>
      </c>
      <c r="G49" s="1">
        <v>16.5</v>
      </c>
      <c r="H49" s="1">
        <v>20</v>
      </c>
      <c r="I49" s="3">
        <v>35</v>
      </c>
      <c r="J49" s="1">
        <v>10</v>
      </c>
      <c r="K49" s="1">
        <v>5</v>
      </c>
      <c r="L49" s="1">
        <f t="shared" ca="1" si="2"/>
        <v>2</v>
      </c>
      <c r="M49" s="1">
        <f t="shared" ca="1" si="3"/>
        <v>8</v>
      </c>
      <c r="N49" s="1">
        <v>3</v>
      </c>
    </row>
    <row r="50" spans="1:14">
      <c r="A50">
        <v>49</v>
      </c>
      <c r="B50" s="1" t="s">
        <v>96</v>
      </c>
      <c r="C50" s="1" t="s">
        <v>97</v>
      </c>
      <c r="E50" s="1">
        <f t="shared" si="0"/>
        <v>80</v>
      </c>
      <c r="F50" s="1">
        <f t="shared" si="1"/>
        <v>12</v>
      </c>
      <c r="G50" s="1">
        <v>15.5</v>
      </c>
      <c r="H50" s="1">
        <v>20</v>
      </c>
      <c r="I50" s="2">
        <v>32</v>
      </c>
      <c r="J50" s="1">
        <v>10</v>
      </c>
      <c r="K50" s="1">
        <v>5</v>
      </c>
      <c r="L50" s="1">
        <f t="shared" ca="1" si="2"/>
        <v>3</v>
      </c>
      <c r="M50" s="1">
        <f t="shared" ca="1" si="3"/>
        <v>7</v>
      </c>
      <c r="N50" s="1">
        <v>2</v>
      </c>
    </row>
    <row r="51" spans="1:14">
      <c r="A51">
        <v>50</v>
      </c>
      <c r="B51" s="1" t="s">
        <v>98</v>
      </c>
      <c r="C51" s="1" t="s">
        <v>99</v>
      </c>
      <c r="E51" s="1">
        <f t="shared" si="0"/>
        <v>64</v>
      </c>
      <c r="F51" s="1">
        <f t="shared" si="1"/>
        <v>12</v>
      </c>
      <c r="G51" s="1">
        <v>9</v>
      </c>
      <c r="H51" s="1">
        <v>18</v>
      </c>
      <c r="I51" s="3">
        <v>25</v>
      </c>
      <c r="J51" s="1">
        <v>10</v>
      </c>
      <c r="K51" s="1">
        <v>5</v>
      </c>
      <c r="L51" s="1">
        <f t="shared" ca="1" si="2"/>
        <v>4</v>
      </c>
      <c r="M51" s="1">
        <f t="shared" ca="1" si="3"/>
        <v>6</v>
      </c>
      <c r="N51" s="1">
        <v>2</v>
      </c>
    </row>
    <row r="52" spans="1:14">
      <c r="A52">
        <v>51</v>
      </c>
      <c r="B52" s="1" t="s">
        <v>100</v>
      </c>
      <c r="C52" s="1" t="s">
        <v>99</v>
      </c>
      <c r="E52" s="1">
        <f t="shared" si="0"/>
        <v>79</v>
      </c>
      <c r="F52" s="1">
        <f t="shared" si="1"/>
        <v>5</v>
      </c>
      <c r="G52" s="1">
        <v>18</v>
      </c>
      <c r="H52" s="1">
        <v>19</v>
      </c>
      <c r="I52" s="2">
        <v>37</v>
      </c>
      <c r="J52" s="1">
        <v>0</v>
      </c>
      <c r="K52" s="1">
        <v>5</v>
      </c>
      <c r="L52" s="1">
        <f t="shared" ca="1" si="2"/>
        <v>4</v>
      </c>
      <c r="M52" s="1">
        <f t="shared" ca="1" si="3"/>
        <v>4</v>
      </c>
      <c r="N52" s="1">
        <v>5</v>
      </c>
    </row>
    <row r="53" spans="1:14">
      <c r="A53">
        <v>52</v>
      </c>
      <c r="B53" s="1" t="s">
        <v>101</v>
      </c>
      <c r="C53" s="1" t="s">
        <v>102</v>
      </c>
      <c r="E53" s="1">
        <f t="shared" si="0"/>
        <v>80</v>
      </c>
      <c r="F53" s="1">
        <f t="shared" si="1"/>
        <v>14</v>
      </c>
      <c r="G53" s="1">
        <v>12</v>
      </c>
      <c r="H53" s="1">
        <v>18.5</v>
      </c>
      <c r="I53" s="3">
        <v>35</v>
      </c>
      <c r="J53" s="1">
        <v>10</v>
      </c>
      <c r="K53" s="1">
        <v>5</v>
      </c>
      <c r="L53" s="1">
        <f t="shared" ca="1" si="2"/>
        <v>5</v>
      </c>
      <c r="M53" s="1">
        <f t="shared" ca="1" si="3"/>
        <v>5</v>
      </c>
      <c r="N53" s="1">
        <v>4</v>
      </c>
    </row>
    <row r="54" spans="1:14">
      <c r="A54">
        <v>53</v>
      </c>
      <c r="B54" s="1" t="s">
        <v>103</v>
      </c>
      <c r="C54" s="1" t="s">
        <v>104</v>
      </c>
      <c r="E54" s="1">
        <f t="shared" si="0"/>
        <v>92</v>
      </c>
      <c r="F54" s="1">
        <f t="shared" si="1"/>
        <v>15</v>
      </c>
      <c r="G54" s="1">
        <v>19</v>
      </c>
      <c r="H54" s="1">
        <v>20.5</v>
      </c>
      <c r="I54" s="2">
        <v>37</v>
      </c>
      <c r="J54" s="1">
        <v>10</v>
      </c>
      <c r="K54" s="1">
        <v>5</v>
      </c>
      <c r="L54" s="1">
        <f t="shared" ca="1" si="2"/>
        <v>3</v>
      </c>
      <c r="M54" s="1">
        <f t="shared" ca="1" si="3"/>
        <v>7</v>
      </c>
      <c r="N54" s="1">
        <v>5</v>
      </c>
    </row>
    <row r="55" spans="1:14">
      <c r="A55">
        <v>54</v>
      </c>
      <c r="B55" s="1" t="s">
        <v>105</v>
      </c>
      <c r="C55" s="1" t="s">
        <v>106</v>
      </c>
      <c r="E55" s="1">
        <f t="shared" si="0"/>
        <v>83</v>
      </c>
      <c r="F55" s="1">
        <f t="shared" si="1"/>
        <v>15</v>
      </c>
      <c r="G55" s="1">
        <v>12.5</v>
      </c>
      <c r="H55" s="1">
        <v>19</v>
      </c>
      <c r="I55" s="3">
        <v>36</v>
      </c>
      <c r="J55" s="1">
        <v>10</v>
      </c>
      <c r="K55" s="1">
        <v>5</v>
      </c>
      <c r="L55" s="1">
        <f t="shared" ca="1" si="2"/>
        <v>5</v>
      </c>
      <c r="M55" s="1">
        <f t="shared" ca="1" si="3"/>
        <v>5</v>
      </c>
      <c r="N55" s="1">
        <v>5</v>
      </c>
    </row>
    <row r="56" spans="1:14">
      <c r="A56">
        <v>55</v>
      </c>
      <c r="B56" s="1" t="s">
        <v>107</v>
      </c>
      <c r="C56" s="1" t="s">
        <v>108</v>
      </c>
      <c r="E56" s="1">
        <f t="shared" si="0"/>
        <v>71</v>
      </c>
      <c r="F56" s="1">
        <f t="shared" si="1"/>
        <v>11</v>
      </c>
      <c r="G56" s="1">
        <v>8</v>
      </c>
      <c r="H56" s="1">
        <v>18</v>
      </c>
      <c r="I56" s="2">
        <v>34</v>
      </c>
      <c r="J56" s="1">
        <v>10</v>
      </c>
      <c r="L56" s="1">
        <f t="shared" ca="1" si="2"/>
        <v>2</v>
      </c>
      <c r="M56" s="1">
        <f t="shared" ca="1" si="3"/>
        <v>8</v>
      </c>
      <c r="N56" s="1">
        <v>1</v>
      </c>
    </row>
    <row r="57" spans="1:14">
      <c r="A57">
        <v>56</v>
      </c>
      <c r="B57" s="1" t="s">
        <v>109</v>
      </c>
      <c r="C57" s="1" t="s">
        <v>110</v>
      </c>
      <c r="E57" s="1">
        <f t="shared" si="0"/>
        <v>64</v>
      </c>
      <c r="F57" s="1">
        <f t="shared" si="1"/>
        <v>3</v>
      </c>
      <c r="G57" s="1">
        <v>10.5</v>
      </c>
      <c r="H57" s="1">
        <v>19</v>
      </c>
      <c r="I57" s="3">
        <v>31</v>
      </c>
      <c r="J57" s="1">
        <v>0</v>
      </c>
      <c r="L57" s="1">
        <f t="shared" ca="1" si="2"/>
        <v>5</v>
      </c>
      <c r="M57" s="1">
        <f t="shared" ca="1" si="3"/>
        <v>5</v>
      </c>
      <c r="N57" s="1">
        <v>3</v>
      </c>
    </row>
    <row r="58" spans="1:14">
      <c r="A58">
        <v>57</v>
      </c>
      <c r="B58" s="1" t="s">
        <v>111</v>
      </c>
      <c r="C58" s="1" t="s">
        <v>112</v>
      </c>
      <c r="E58" s="1">
        <f t="shared" si="0"/>
        <v>70</v>
      </c>
      <c r="F58" s="1">
        <f t="shared" si="1"/>
        <v>12</v>
      </c>
      <c r="G58" s="1">
        <v>9.5</v>
      </c>
      <c r="H58" s="1">
        <v>16.5</v>
      </c>
      <c r="I58" s="2">
        <v>32</v>
      </c>
      <c r="J58" s="1">
        <v>10</v>
      </c>
      <c r="L58" s="1">
        <f t="shared" ca="1" si="2"/>
        <v>4</v>
      </c>
      <c r="M58" s="1">
        <f t="shared" ca="1" si="3"/>
        <v>6</v>
      </c>
      <c r="N58" s="1">
        <v>2</v>
      </c>
    </row>
    <row r="59" spans="1:14">
      <c r="A59">
        <v>58</v>
      </c>
      <c r="B59" s="1" t="s">
        <v>113</v>
      </c>
      <c r="C59" s="1" t="s">
        <v>122</v>
      </c>
      <c r="E59" s="1">
        <f t="shared" si="0"/>
        <v>37</v>
      </c>
      <c r="F59" s="1">
        <v>12</v>
      </c>
      <c r="G59" s="1">
        <v>3</v>
      </c>
      <c r="H59" s="1">
        <v>17</v>
      </c>
      <c r="I59" s="3">
        <v>5</v>
      </c>
      <c r="J59" s="1">
        <v>0</v>
      </c>
      <c r="L59" s="1">
        <f t="shared" ca="1" si="2"/>
        <v>3</v>
      </c>
      <c r="M59" s="1">
        <f t="shared" ca="1" si="3"/>
        <v>3</v>
      </c>
      <c r="N59" s="1">
        <v>5</v>
      </c>
    </row>
    <row r="60" spans="1:14">
      <c r="A60">
        <v>59</v>
      </c>
      <c r="B60" s="1" t="s">
        <v>114</v>
      </c>
      <c r="C60" s="1" t="s">
        <v>123</v>
      </c>
      <c r="E60" s="1">
        <f t="shared" si="0"/>
        <v>75</v>
      </c>
      <c r="F60" s="1">
        <f t="shared" si="1"/>
        <v>13</v>
      </c>
      <c r="G60" s="1">
        <v>10</v>
      </c>
      <c r="H60" s="1">
        <v>20</v>
      </c>
      <c r="I60" s="2">
        <v>32</v>
      </c>
      <c r="J60" s="1">
        <v>10</v>
      </c>
      <c r="L60" s="1">
        <f t="shared" ca="1" si="2"/>
        <v>0</v>
      </c>
      <c r="M60" s="1">
        <f t="shared" ca="1" si="3"/>
        <v>10</v>
      </c>
      <c r="N60" s="1">
        <v>3</v>
      </c>
    </row>
    <row r="61" spans="1:14">
      <c r="A61">
        <v>60</v>
      </c>
      <c r="B61" s="1" t="s">
        <v>115</v>
      </c>
      <c r="C61" s="1" t="s">
        <v>116</v>
      </c>
      <c r="E61" s="1">
        <f t="shared" si="0"/>
        <v>79</v>
      </c>
      <c r="F61" s="1">
        <f t="shared" si="1"/>
        <v>12</v>
      </c>
      <c r="G61" s="1">
        <v>13</v>
      </c>
      <c r="H61" s="1">
        <v>21</v>
      </c>
      <c r="I61" s="3">
        <v>33</v>
      </c>
      <c r="J61" s="1">
        <v>10</v>
      </c>
      <c r="L61" s="1">
        <f t="shared" ca="1" si="2"/>
        <v>1</v>
      </c>
      <c r="M61" s="1">
        <f t="shared" ca="1" si="3"/>
        <v>9</v>
      </c>
      <c r="N61" s="1">
        <v>2</v>
      </c>
    </row>
    <row r="62" spans="1:14">
      <c r="A62">
        <v>61</v>
      </c>
      <c r="B62" s="1" t="s">
        <v>117</v>
      </c>
      <c r="C62" s="1" t="s">
        <v>118</v>
      </c>
      <c r="E62" s="1">
        <f t="shared" si="0"/>
        <v>60</v>
      </c>
      <c r="F62" s="1">
        <f t="shared" si="1"/>
        <v>13</v>
      </c>
      <c r="G62" s="1">
        <v>7.5</v>
      </c>
      <c r="H62" s="1">
        <v>17</v>
      </c>
      <c r="I62" s="2">
        <v>22</v>
      </c>
      <c r="J62" s="1">
        <v>10</v>
      </c>
      <c r="L62" s="1">
        <f t="shared" ca="1" si="2"/>
        <v>4</v>
      </c>
      <c r="M62" s="1">
        <f t="shared" ca="1" si="3"/>
        <v>6</v>
      </c>
      <c r="N62" s="1">
        <v>3</v>
      </c>
    </row>
  </sheetData>
  <autoFilter ref="A1:AMD62" xr:uid="{00000000-0001-0000-0000-000000000000}"/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Student 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amit_245@outlook.com</cp:lastModifiedBy>
  <cp:revision>11</cp:revision>
  <dcterms:created xsi:type="dcterms:W3CDTF">2026-01-13T14:08:00Z</dcterms:created>
  <dcterms:modified xsi:type="dcterms:W3CDTF">2026-05-25T07:23:13Z</dcterms:modified>
  <dc:language>en-IN</dc:language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E147681141174C10AAD60C4FE76EDC77_12</vt:lpwstr>
  </property>
  <property fmtid="{D5CDD505-2E9C-101B-9397-08002B2CF9AE}" pid="3" name="KSOProductBuildVer">
    <vt:lpwstr>1033-12.2.0.23196</vt:lpwstr>
  </property>
</Properties>
</file>